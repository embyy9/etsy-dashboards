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ual Summary" state="visible" r:id="rId4"/>
    <sheet sheetId="2" name="January" state="visible" r:id="rId5"/>
    <sheet sheetId="3" name="February" state="visible" r:id="rId6"/>
    <sheet sheetId="4" name="March" state="visible" r:id="rId7"/>
    <sheet sheetId="5" name="April" state="visible" r:id="rId8"/>
    <sheet sheetId="6" name="May" state="visible" r:id="rId9"/>
    <sheet sheetId="7" name="June" state="visible" r:id="rId10"/>
    <sheet sheetId="8" name="July" state="visible" r:id="rId11"/>
    <sheet sheetId="9" name="August" state="visible" r:id="rId12"/>
    <sheet sheetId="10" name="September" state="visible" r:id="rId13"/>
    <sheet sheetId="11" name="October" state="visible" r:id="rId14"/>
    <sheet sheetId="12" name="November" state="visible" r:id="rId15"/>
    <sheet sheetId="13" name="December" state="visible" r:id="rId16"/>
    <sheet sheetId="14" name="Budget Goals" state="visible" r:id="rId17"/>
  </sheets>
  <calcPr calcId="171027"/>
</workbook>
</file>

<file path=xl/sharedStrings.xml><?xml version="1.0" encoding="utf-8"?>
<sst xmlns="http://schemas.openxmlformats.org/spreadsheetml/2006/main" count="286" uniqueCount="53">
  <si>
    <t>Month</t>
  </si>
  <si>
    <t>Income</t>
  </si>
  <si>
    <t>Expenses</t>
  </si>
  <si>
    <t>Net Savings</t>
  </si>
  <si>
    <t>Savings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</si>
  <si>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</si>
  <si>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</si>
  <si>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</si>
  <si>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</si>
  <si>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</si>
  <si>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</si>
  <si>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</si>
  <si>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</si>
  <si>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</si>
  <si>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</si>
  <si>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</si>
  <si>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</si>
  <si>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</si>
  <si>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Total Income:</t>
  </si>
  <si>
    <t>Category Breakdown</t>
  </si>
  <si>
    <t>Total Expenses:</t>
  </si>
  <si>
    <t>Food &amp; Dining</t>
  </si>
  <si>
    <t>Net Savings:</t>
  </si>
  <si>
    <t>Transport</t>
  </si>
  <si>
    <t>Housing</t>
  </si>
  <si>
    <t>Date</t>
  </si>
  <si>
    <t>Description</t>
  </si>
  <si>
    <t>Category</t>
  </si>
  <si>
    <t>Amount</t>
  </si>
  <si>
    <t>Type</t>
  </si>
  <si>
    <t>Utilities</t>
  </si>
  <si>
    <t>Monthly Salary</t>
  </si>
  <si>
    <t>Salary</t>
  </si>
  <si>
    <t>Entertainment</t>
  </si>
  <si>
    <t>Rent Payment</t>
  </si>
  <si>
    <t>Expense</t>
  </si>
  <si>
    <t>Shopping</t>
  </si>
  <si>
    <t>Grocery Shopping</t>
  </si>
  <si>
    <t>Healthcare</t>
  </si>
  <si>
    <t>Electric Bill</t>
  </si>
  <si>
    <t>Education</t>
  </si>
  <si>
    <t>Netflix</t>
  </si>
  <si>
    <t>Savings</t>
  </si>
  <si>
    <t>Freelance Project</t>
  </si>
  <si>
    <t>Freelance</t>
  </si>
  <si>
    <t>Other</t>
  </si>
  <si>
    <t>Gas</t>
  </si>
  <si>
    <t>New Shoes</t>
  </si>
  <si>
    <t>Category Budget Planner</t>
  </si>
  <si>
    <t>Monthly Budget</t>
  </si>
  <si>
    <t>Actual (Jan)</t>
  </si>
  <si>
    <t>Difference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</si>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</sst>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mm/dd/yyyy"/>
  </numFmts>
  <fonts count="7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sz val="11"/>
    </font>
    <font>
      <b/>
    </font>
    <font>
      <b/>
      <sz val="12"/>
    </font>
    <font>
      <b/>
      <color rgb="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4361EE"/>
      </patternFill>
    </fill>
    <fill>
      <patternFill patternType="solid">
        <fgColor rgb="F9C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0" fillId="0" borderId="0" xfId="0" applyNumberFormat="1"/>
    <xf numFmtId="0" fontId="6" fillId="0" borderId="0" xfId="0" applyFont="1"/>
    <xf numFmtId="0" fontId="5" fillId="3" borderId="0" xfId="0" applyFont="1" applyFill="1"/>
  </cellXfs>
  <cellStyles count="1">
    <cellStyle name="Normal" xfId="0" builtinId="0"/>
  </cellStyles>
  <dxfs count="4">
    <dxf>
      <font>
        <color rgb="2DC653"/>
      </font>
    </dxf>
    <dxf>
      <font>
        <color rgb="E63946"/>
      </font>
    </dxf>
    <dxf>
      <font>
        <color rgb="2DC653"/>
      </font>
    </dxf>
    <dxf>
      <font>
        <color rgb="E6394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61EE"/>
  </sheetPr>
  <dimension ref="A1:E14"/>
  <sheetFormatPr defaultRowHeight="15" outlineLevelRow="0" outlineLevelCol="0" x14ac:dyDescent="55"/>
  <cols>
    <col min="1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f>'January'!B2</f>
      </c>
      <c r="C2" s="2">
        <f>'January'!B3</f>
      </c>
      <c r="D2" s="2">
        <f>B2-C2</f>
      </c>
      <c r="E2" s="3">
        <f>IF(B2&gt;0,(B2-C2)/B2,0)</f>
      </c>
    </row>
    <row r="3" spans="1:5" x14ac:dyDescent="0.25">
      <c r="A3" t="s">
        <v>6</v>
      </c>
      <c r="B3" s="2">
        <f>'February'!B2</f>
      </c>
      <c r="C3" s="2">
        <f>'February'!B3</f>
      </c>
      <c r="D3" s="2">
        <f>B3-C3</f>
      </c>
      <c r="E3" s="3">
        <f>IF(B3&gt;0,(B3-C3)/B3,0)</f>
      </c>
    </row>
    <row r="4" spans="1:5" x14ac:dyDescent="0.25">
      <c r="A4" t="s">
        <v>7</v>
      </c>
      <c r="B4" s="2">
        <f>'March'!B2</f>
      </c>
      <c r="C4" s="2">
        <f>'March'!B3</f>
      </c>
      <c r="D4" s="2">
        <f>B4-C4</f>
      </c>
      <c r="E4" s="3">
        <f>IF(B4&gt;0,(B4-C4)/B4,0)</f>
      </c>
    </row>
    <row r="5" spans="1:5" x14ac:dyDescent="0.25">
      <c r="A5" t="s">
        <v>8</v>
      </c>
      <c r="B5" s="2">
        <f>'April'!B2</f>
      </c>
      <c r="C5" s="2">
        <f>'April'!B3</f>
      </c>
      <c r="D5" s="2">
        <f>B5-C5</f>
      </c>
      <c r="E5" s="3">
        <f>IF(B5&gt;0,(B5-C5)/B5,0)</f>
      </c>
    </row>
    <row r="6" spans="1:5" x14ac:dyDescent="0.25">
      <c r="A6" t="s">
        <v>9</v>
      </c>
      <c r="B6" s="2">
        <f>'May'!B2</f>
      </c>
      <c r="C6" s="2">
        <f>'May'!B3</f>
      </c>
      <c r="D6" s="2">
        <f>B6-C6</f>
      </c>
      <c r="E6" s="3">
        <f>IF(B6&gt;0,(B6-C6)/B6,0)</f>
      </c>
    </row>
    <row r="7" spans="1:5" x14ac:dyDescent="0.25">
      <c r="A7" t="s">
        <v>10</v>
      </c>
      <c r="B7" s="2">
        <f>'June'!B2</f>
      </c>
      <c r="C7" s="2">
        <f>'June'!B3</f>
      </c>
      <c r="D7" s="2">
        <f>B7-C7</f>
      </c>
      <c r="E7" s="3">
        <f>IF(B7&gt;0,(B7-C7)/B7,0)</f>
      </c>
    </row>
    <row r="8" spans="1:5" x14ac:dyDescent="0.25">
      <c r="A8" t="s">
        <v>11</v>
      </c>
      <c r="B8" s="2">
        <f>'July'!B2</f>
      </c>
      <c r="C8" s="2">
        <f>'July'!B3</f>
      </c>
      <c r="D8" s="2">
        <f>B8-C8</f>
      </c>
      <c r="E8" s="3">
        <f>IF(B8&gt;0,(B8-C8)/B8,0)</f>
      </c>
    </row>
    <row r="9" spans="1:5" x14ac:dyDescent="0.25">
      <c r="A9" t="s">
        <v>12</v>
      </c>
      <c r="B9" s="2">
        <f>'August'!B2</f>
      </c>
      <c r="C9" s="2">
        <f>'August'!B3</f>
      </c>
      <c r="D9" s="2">
        <f>B9-C9</f>
      </c>
      <c r="E9" s="3">
        <f>IF(B9&gt;0,(B9-C9)/B9,0)</f>
      </c>
    </row>
    <row r="10" spans="1:5" x14ac:dyDescent="0.25">
      <c r="A10" t="s">
        <v>13</v>
      </c>
      <c r="B10" s="2">
        <f>'September'!B2</f>
      </c>
      <c r="C10" s="2">
        <f>'September'!B3</f>
      </c>
      <c r="D10" s="2">
        <f>B10-C10</f>
      </c>
      <c r="E10" s="3">
        <f>IF(B10&gt;0,(B10-C10)/B10,0)</f>
      </c>
    </row>
    <row r="11" spans="1:5" x14ac:dyDescent="0.25">
      <c r="A11" t="s">
        <v>14</v>
      </c>
      <c r="B11" s="2">
        <f>'October'!B2</f>
      </c>
      <c r="C11" s="2">
        <f>'October'!B3</f>
      </c>
      <c r="D11" s="2">
        <f>B11-C11</f>
      </c>
      <c r="E11" s="3">
        <f>IF(B11&gt;0,(B11-C11)/B11,0)</f>
      </c>
    </row>
    <row r="12" spans="1:5" x14ac:dyDescent="0.25">
      <c r="A12" t="s">
        <v>15</v>
      </c>
      <c r="B12" s="2">
        <f>'November'!B2</f>
      </c>
      <c r="C12" s="2">
        <f>'November'!B3</f>
      </c>
      <c r="D12" s="2">
        <f>B12-C12</f>
      </c>
      <c r="E12" s="3">
        <f>IF(B12&gt;0,(B12-C12)/B12,0)</f>
      </c>
    </row>
    <row r="13" spans="1:5" x14ac:dyDescent="0.25">
      <c r="A13" t="s">
        <v>16</v>
      </c>
      <c r="B13" s="2">
        <f>'December'!B2</f>
      </c>
      <c r="C13" s="2">
        <f>'December'!B3</f>
      </c>
      <c r="D13" s="2">
        <f>B13-C13</f>
      </c>
      <c r="E13" s="3">
        <f>IF(B13&gt;0,(B13-C13)/B13,0)</f>
      </c>
    </row>
    <row r="14" spans="1:5" s="4" customFormat="1" x14ac:dyDescent="0.25">
      <c r="A14" s="4" t="s">
        <v>17</v>
      </c>
      <c r="B14" s="5">
        <f>SUM(B2:B13)</f>
      </c>
      <c r="C14" s="5">
        <f>SUM(C2:C13)</f>
      </c>
      <c r="D14" s="5">
        <f>B14-C14</f>
      </c>
      <c r="E14" s="6">
        <f>IF(B14&gt;0,(B14-C14)/B14,0)</f>
      </c>
    </row>
  </sheetData>
  <conditionalFormatting sqref="D2:D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1:8" x14ac:dyDescent="0.25">
      <c r="A6" s="11">
        <v>45658</v>
      </c>
      <c r="B6" t="s">
        <v>31</v>
      </c>
      <c r="C6" t="s">
        <v>32</v>
      </c>
      <c r="D6" s="2">
        <v>5000</v>
      </c>
      <c r="E6" t="s">
        <v>1</v>
      </c>
      <c r="G6" t="s">
        <v>33</v>
      </c>
      <c r="H6" s="2">
        <f>SUMIFS(D6:D100,C6:C100,"Entertainment",E6:E100,"Expense")</f>
      </c>
    </row>
    <row r="7" spans="1:8" x14ac:dyDescent="0.25">
      <c r="A7" s="11">
        <v>45660</v>
      </c>
      <c r="B7" t="s">
        <v>34</v>
      </c>
      <c r="C7" t="s">
        <v>24</v>
      </c>
      <c r="D7" s="2">
        <v>1500</v>
      </c>
      <c r="E7" t="s">
        <v>35</v>
      </c>
      <c r="G7" t="s">
        <v>36</v>
      </c>
      <c r="H7" s="2">
        <f>SUMIFS(D6:D100,C6:C100,"Shopping",E6:E100,"Expense")</f>
      </c>
    </row>
    <row r="8" spans="1:8" x14ac:dyDescent="0.25">
      <c r="A8" s="11">
        <v>45662</v>
      </c>
      <c r="B8" t="s">
        <v>37</v>
      </c>
      <c r="C8" t="s">
        <v>21</v>
      </c>
      <c r="D8" s="2">
        <v>120</v>
      </c>
      <c r="E8" t="s">
        <v>35</v>
      </c>
      <c r="G8" t="s">
        <v>38</v>
      </c>
      <c r="H8" s="2">
        <f>SUMIFS(D6:D100,C6:C100,"Healthcare",E6:E100,"Expense")</f>
      </c>
    </row>
    <row r="9" spans="1:8" x14ac:dyDescent="0.25">
      <c r="A9" s="11">
        <v>45665</v>
      </c>
      <c r="B9" t="s">
        <v>39</v>
      </c>
      <c r="C9" t="s">
        <v>30</v>
      </c>
      <c r="D9" s="2">
        <v>85</v>
      </c>
      <c r="E9" t="s">
        <v>35</v>
      </c>
      <c r="G9" t="s">
        <v>40</v>
      </c>
      <c r="H9" s="2">
        <f>SUMIFS(D6:D100,C6:C100,"Education",E6:E100,"Expense")</f>
      </c>
    </row>
    <row r="10" spans="1:8" x14ac:dyDescent="0.25">
      <c r="A10" s="11">
        <v>45667</v>
      </c>
      <c r="B10" t="s">
        <v>41</v>
      </c>
      <c r="C10" t="s">
        <v>33</v>
      </c>
      <c r="D10" s="2">
        <v>15</v>
      </c>
      <c r="E10" t="s">
        <v>35</v>
      </c>
      <c r="G10" t="s">
        <v>42</v>
      </c>
      <c r="H10" s="2">
        <f>SUMIFS(D6:D100,C6:C100,"Savings",E6:E100,"Expense")</f>
      </c>
    </row>
    <row r="11" spans="1:8" x14ac:dyDescent="0.25">
      <c r="A11" s="11">
        <v>45672</v>
      </c>
      <c r="B11" t="s">
        <v>43</v>
      </c>
      <c r="C11" t="s">
        <v>44</v>
      </c>
      <c r="D11" s="2">
        <v>800</v>
      </c>
      <c r="E11" t="s">
        <v>1</v>
      </c>
      <c r="G11" t="s">
        <v>45</v>
      </c>
      <c r="H11" s="2">
        <f>SUMIFS(D6:D100,C6:C100,"Other",E6:E100,"Expense")</f>
      </c>
    </row>
    <row r="12" spans="1:5" x14ac:dyDescent="0.25">
      <c r="A12" s="11">
        <v>45675</v>
      </c>
      <c r="B12" t="s">
        <v>46</v>
      </c>
      <c r="C12" t="s">
        <v>23</v>
      </c>
      <c r="D12" s="2">
        <v>45</v>
      </c>
      <c r="E12" t="s">
        <v>35</v>
      </c>
    </row>
    <row r="13" spans="1:5" x14ac:dyDescent="0.25">
      <c r="A13" s="11">
        <v>45679</v>
      </c>
      <c r="B13" t="s">
        <v>47</v>
      </c>
      <c r="C13" t="s">
        <v>36</v>
      </c>
      <c r="D13" s="2">
        <v>90</v>
      </c>
      <c r="E13" t="s">
        <v>35</v>
      </c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4" customWidth="1"/>
    <col min="5" max="5" width="10" customWidth="1"/>
    <col min="7" max="7" width="16" customWidth="1"/>
    <col min="8" max="8" width="14" customWidth="1"/>
  </cols>
  <sheetData>
    <row r="1" spans="1:7" x14ac:dyDescent="0.25">
      <c r="A1" s="7" t="s">
        <v>18</v>
      </c>
      <c r="B1" s="2">
        <f>SUMIF(E6:E100,"Income",D6:D100)</f>
      </c>
      <c r="G1" s="8" t="s">
        <v>19</v>
      </c>
    </row>
    <row r="2" spans="1:8" x14ac:dyDescent="0.25">
      <c r="A2" s="7" t="s">
        <v>20</v>
      </c>
      <c r="B2" s="2">
        <f>SUMIF(E6:E100,"Expense",D6:D100)</f>
      </c>
      <c r="G2" t="s">
        <v>21</v>
      </c>
      <c r="H2" s="2">
        <f>SUMIFS(D6:D100,C6:C100,"Food &amp; Dining",E6:E100,"Expense")</f>
      </c>
    </row>
    <row r="3" spans="1:8" x14ac:dyDescent="0.25">
      <c r="A3" s="7" t="s">
        <v>22</v>
      </c>
      <c r="B3" s="2">
        <f>B1-B2</f>
      </c>
      <c r="G3" t="s">
        <v>23</v>
      </c>
      <c r="H3" s="2">
        <f>SUMIFS(D6:D100,C6:C100,"Transport",E6:E100,"Expense")</f>
      </c>
    </row>
    <row r="4" spans="7:8" x14ac:dyDescent="0.25">
      <c r="G4" t="s">
        <v>24</v>
      </c>
      <c r="H4" s="2">
        <f>SUMIFS(D6:D100,C6:C100,"Housing",E6:E100,"Expense")</f>
      </c>
    </row>
    <row r="5" spans="1:8" s="9" customFormat="1" x14ac:dyDescent="0.25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G5" s="9" t="s">
        <v>30</v>
      </c>
      <c r="H5" s="10">
        <f>SUMIFS(D6:D100,C6:C100,"Utilities",E6:E100,"Expense")</f>
      </c>
    </row>
    <row r="6" spans="4:8" x14ac:dyDescent="0.25">
      <c r="D6" s="2"/>
      <c r="G6" t="s">
        <v>33</v>
      </c>
      <c r="H6" s="2">
        <f>SUMIFS(D6:D100,C6:C100,"Entertainment",E6:E100,"Expense")</f>
      </c>
    </row>
    <row r="7" spans="4:8" x14ac:dyDescent="0.25">
      <c r="D7" s="2"/>
      <c r="G7" t="s">
        <v>36</v>
      </c>
      <c r="H7" s="2">
        <f>SUMIFS(D6:D100,C6:C100,"Shopping",E6:E100,"Expense")</f>
      </c>
    </row>
    <row r="8" spans="4:8" x14ac:dyDescent="0.25">
      <c r="D8" s="2"/>
      <c r="G8" t="s">
        <v>38</v>
      </c>
      <c r="H8" s="2">
        <f>SUMIFS(D6:D100,C6:C100,"Healthcare",E6:E100,"Expense")</f>
      </c>
    </row>
    <row r="9" spans="4:8" x14ac:dyDescent="0.25">
      <c r="D9" s="2"/>
      <c r="G9" t="s">
        <v>40</v>
      </c>
      <c r="H9" s="2">
        <f>SUMIFS(D6:D100,C6:C100,"Education",E6:E100,"Expense")</f>
      </c>
    </row>
    <row r="10" spans="4:8" x14ac:dyDescent="0.25">
      <c r="D10" s="2"/>
      <c r="G10" t="s">
        <v>42</v>
      </c>
      <c r="H10" s="2">
        <f>SUMIFS(D6:D100,C6:C100,"Savings",E6:E100,"Expense")</f>
      </c>
    </row>
    <row r="11" spans="4:8" x14ac:dyDescent="0.25">
      <c r="D11" s="2"/>
      <c r="G11" t="s">
        <v>45</v>
      </c>
      <c r="H11" s="2">
        <f>SUMIFS(D6:D100,C6:C100,"Other",E6:E100,"Expense")</f>
      </c>
    </row>
    <row r="12" spans="4:4" x14ac:dyDescent="0.25">
      <c r="D12" s="2"/>
    </row>
    <row r="13" spans="4:4" x14ac:dyDescent="0.25">
      <c r="D13" s="2"/>
    </row>
    <row r="14" spans="4:4" x14ac:dyDescent="0.25">
      <c r="D14" s="2"/>
    </row>
    <row r="15" spans="4:4" x14ac:dyDescent="0.25">
      <c r="D15" s="2"/>
    </row>
    <row r="16" spans="4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C74F"/>
  </sheetPr>
  <dimension ref="A1:E13"/>
  <sheetFormatPr defaultRowHeight="15" outlineLevelRow="0" outlineLevelCol="0" x14ac:dyDescent="55"/>
  <cols>
    <col min="1" max="2" width="16" customWidth="1"/>
    <col min="3" max="5" width="14" customWidth="1"/>
  </cols>
  <sheetData>
    <row r="1" spans="1:1" x14ac:dyDescent="0.25">
      <c r="A1" s="12" t="s">
        <v>48</v>
      </c>
    </row>
    <row r="3" spans="1:5" s="13" customFormat="1" x14ac:dyDescent="0.25">
      <c r="A3" s="13" t="s">
        <v>27</v>
      </c>
      <c r="B3" s="13" t="s">
        <v>49</v>
      </c>
      <c r="C3" s="13" t="s">
        <v>50</v>
      </c>
      <c r="D3" s="13" t="s">
        <v>51</v>
      </c>
      <c r="E3" s="13" t="s">
        <v>52</v>
      </c>
    </row>
    <row r="4" spans="1:5" x14ac:dyDescent="0.25">
      <c r="A4" t="s">
        <v>21</v>
      </c>
      <c r="B4" s="2">
        <v>500</v>
      </c>
      <c r="C4" s="2">
        <f>January!H2</f>
      </c>
      <c r="D4" s="2">
        <f>B4-C4</f>
      </c>
      <c r="E4">
        <f>IF(D4&gt;=0,"Under Budget","OVER BUDGET")</f>
      </c>
    </row>
    <row r="5" spans="1:5" x14ac:dyDescent="0.25">
      <c r="A5" t="s">
        <v>23</v>
      </c>
      <c r="B5" s="2">
        <v>200</v>
      </c>
      <c r="C5" s="2">
        <f>January!H3</f>
      </c>
      <c r="D5" s="2">
        <f>B5-C5</f>
      </c>
      <c r="E5">
        <f>IF(D5&gt;=0,"Under Budget","OVER BUDGET")</f>
      </c>
    </row>
    <row r="6" spans="1:5" x14ac:dyDescent="0.25">
      <c r="A6" t="s">
        <v>24</v>
      </c>
      <c r="B6" s="2">
        <v>1500</v>
      </c>
      <c r="C6" s="2">
        <f>January!H4</f>
      </c>
      <c r="D6" s="2">
        <f>B6-C6</f>
      </c>
      <c r="E6">
        <f>IF(D6&gt;=0,"Under Budget","OVER BUDGET")</f>
      </c>
    </row>
    <row r="7" spans="1:5" x14ac:dyDescent="0.25">
      <c r="A7" t="s">
        <v>30</v>
      </c>
      <c r="B7" s="2">
        <v>150</v>
      </c>
      <c r="C7" s="2">
        <f>January!H5</f>
      </c>
      <c r="D7" s="2">
        <f>B7-C7</f>
      </c>
      <c r="E7">
        <f>IF(D7&gt;=0,"Under Budget","OVER BUDGET")</f>
      </c>
    </row>
    <row r="8" spans="1:5" x14ac:dyDescent="0.25">
      <c r="A8" t="s">
        <v>33</v>
      </c>
      <c r="B8" s="2">
        <v>100</v>
      </c>
      <c r="C8" s="2">
        <f>January!H6</f>
      </c>
      <c r="D8" s="2">
        <f>B8-C8</f>
      </c>
      <c r="E8">
        <f>IF(D8&gt;=0,"Under Budget","OVER BUDGET")</f>
      </c>
    </row>
    <row r="9" spans="1:5" x14ac:dyDescent="0.25">
      <c r="A9" t="s">
        <v>36</v>
      </c>
      <c r="B9" s="2">
        <v>200</v>
      </c>
      <c r="C9" s="2">
        <f>January!H7</f>
      </c>
      <c r="D9" s="2">
        <f>B9-C9</f>
      </c>
      <c r="E9">
        <f>IF(D9&gt;=0,"Under Budget","OVER BUDGET")</f>
      </c>
    </row>
    <row r="10" spans="1:5" x14ac:dyDescent="0.25">
      <c r="A10" t="s">
        <v>38</v>
      </c>
      <c r="B10" s="2">
        <v>100</v>
      </c>
      <c r="C10" s="2">
        <f>January!H8</f>
      </c>
      <c r="D10" s="2">
        <f>B10-C10</f>
      </c>
      <c r="E10">
        <f>IF(D10&gt;=0,"Under Budget","OVER BUDGET")</f>
      </c>
    </row>
    <row r="11" spans="1:5" x14ac:dyDescent="0.25">
      <c r="A11" t="s">
        <v>40</v>
      </c>
      <c r="B11" s="2">
        <v>50</v>
      </c>
      <c r="C11" s="2">
        <f>January!H9</f>
      </c>
      <c r="D11" s="2">
        <f>B11-C11</f>
      </c>
      <c r="E11">
        <f>IF(D11&gt;=0,"Under Budget","OVER BUDGET")</f>
      </c>
    </row>
    <row r="12" spans="1:5" x14ac:dyDescent="0.25">
      <c r="A12" t="s">
        <v>42</v>
      </c>
      <c r="B12" s="2">
        <v>500</v>
      </c>
      <c r="C12" s="2">
        <f>January!H10</f>
      </c>
      <c r="D12" s="2">
        <f>B12-C12</f>
      </c>
      <c r="E12">
        <f>IF(D12&gt;=0,"Under Budget","OVER BUDGET")</f>
      </c>
    </row>
    <row r="13" spans="1:5" x14ac:dyDescent="0.25">
      <c r="A13" t="s">
        <v>45</v>
      </c>
      <c r="B13" s="2">
        <v>100</v>
      </c>
      <c r="C13" s="2">
        <f>January!H11</f>
      </c>
      <c r="D13" s="2">
        <f>B13-C13</f>
      </c>
      <c r="E13">
        <f>IF(D13&gt;=0,"Under Budget","OVER BUDGET")</f>
      </c>
    </row>
  </sheetData>
  <conditionalFormatting sqref="D4:D13">
    <cfRule type="cellIs" dxfId="2" priority="1" operator="greaterThanOrEqual">
      <formula>0</formula>
    </cfRule>
    <cfRule type="cellIs" dxfId="3" priority="2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Annual 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Budget Goals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Dashboard</dc:creator>
  <dc:title/>
  <dc:subject/>
  <dc:description/>
  <cp:keywords/>
  <cp:category/>
  <cp:lastModifiedBy>Unknown</cp:lastModifiedBy>
  <dcterms:created xsi:type="dcterms:W3CDTF">2026-04-29T13:00:50Z</dcterms:created>
  <dcterms:modified xsi:type="dcterms:W3CDTF">2026-04-29T13:00:50Z</dcterms:modified>
</cp:coreProperties>
</file>